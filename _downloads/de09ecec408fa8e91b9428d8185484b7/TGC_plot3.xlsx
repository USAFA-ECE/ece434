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e.york\Documents\ECE434\CPX3\"/>
    </mc:Choice>
  </mc:AlternateContent>
  <bookViews>
    <workbookView xWindow="360" yWindow="90" windowWidth="18200" windowHeight="825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D3" i="1" l="1"/>
  <c r="G32" i="1"/>
  <c r="G31" i="1"/>
  <c r="H3" i="1"/>
  <c r="E3" i="1" l="1"/>
  <c r="A4" i="1"/>
  <c r="B3" i="1"/>
  <c r="I3" i="1" s="1"/>
  <c r="B4" i="1" l="1"/>
  <c r="A5" i="1"/>
  <c r="E4" i="1"/>
  <c r="C4" i="1" l="1"/>
  <c r="F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A6" i="1"/>
  <c r="E5" i="1"/>
  <c r="I4" i="1" l="1"/>
  <c r="F5" i="1"/>
  <c r="D4" i="1"/>
  <c r="G4" i="1" s="1"/>
  <c r="H4" i="1" s="1"/>
  <c r="C5" i="1"/>
  <c r="A7" i="1"/>
  <c r="E6" i="1"/>
  <c r="F6" i="1" l="1"/>
  <c r="I5" i="1"/>
  <c r="H5" i="1"/>
  <c r="C6" i="1"/>
  <c r="D5" i="1"/>
  <c r="G5" i="1" s="1"/>
  <c r="A8" i="1"/>
  <c r="E7" i="1"/>
  <c r="C7" i="1" l="1"/>
  <c r="D6" i="1"/>
  <c r="G6" i="1" s="1"/>
  <c r="H6" i="1" s="1"/>
  <c r="F7" i="1"/>
  <c r="I6" i="1"/>
  <c r="A9" i="1"/>
  <c r="E8" i="1"/>
  <c r="F8" i="1" l="1"/>
  <c r="I7" i="1"/>
  <c r="H7" i="1"/>
  <c r="C8" i="1"/>
  <c r="D7" i="1"/>
  <c r="G7" i="1" s="1"/>
  <c r="A10" i="1"/>
  <c r="E9" i="1"/>
  <c r="C9" i="1" l="1"/>
  <c r="D8" i="1"/>
  <c r="G8" i="1" s="1"/>
  <c r="H8" i="1" s="1"/>
  <c r="F9" i="1"/>
  <c r="I8" i="1"/>
  <c r="A11" i="1"/>
  <c r="E10" i="1"/>
  <c r="F10" i="1" l="1"/>
  <c r="I9" i="1"/>
  <c r="H9" i="1"/>
  <c r="C10" i="1"/>
  <c r="D9" i="1"/>
  <c r="G9" i="1" s="1"/>
  <c r="A12" i="1"/>
  <c r="E11" i="1"/>
  <c r="C11" i="1" l="1"/>
  <c r="D10" i="1"/>
  <c r="G10" i="1" s="1"/>
  <c r="H10" i="1" s="1"/>
  <c r="F11" i="1"/>
  <c r="I10" i="1"/>
  <c r="A13" i="1"/>
  <c r="E12" i="1"/>
  <c r="F12" i="1" l="1"/>
  <c r="I11" i="1"/>
  <c r="H11" i="1"/>
  <c r="C12" i="1"/>
  <c r="D11" i="1"/>
  <c r="G11" i="1" s="1"/>
  <c r="A14" i="1"/>
  <c r="E13" i="1"/>
  <c r="C13" i="1" l="1"/>
  <c r="D12" i="1"/>
  <c r="G12" i="1" s="1"/>
  <c r="H12" i="1" s="1"/>
  <c r="F13" i="1"/>
  <c r="I12" i="1"/>
  <c r="A15" i="1"/>
  <c r="E14" i="1"/>
  <c r="F14" i="1" l="1"/>
  <c r="I13" i="1"/>
  <c r="H13" i="1"/>
  <c r="C14" i="1"/>
  <c r="D13" i="1"/>
  <c r="G13" i="1" s="1"/>
  <c r="A16" i="1"/>
  <c r="E15" i="1"/>
  <c r="C15" i="1" l="1"/>
  <c r="D14" i="1"/>
  <c r="G14" i="1" s="1"/>
  <c r="H14" i="1" s="1"/>
  <c r="F15" i="1"/>
  <c r="I14" i="1"/>
  <c r="A17" i="1"/>
  <c r="E16" i="1"/>
  <c r="F16" i="1" l="1"/>
  <c r="I15" i="1"/>
  <c r="H15" i="1"/>
  <c r="C16" i="1"/>
  <c r="D15" i="1"/>
  <c r="G15" i="1" s="1"/>
  <c r="A18" i="1"/>
  <c r="E17" i="1"/>
  <c r="C17" i="1" l="1"/>
  <c r="D16" i="1"/>
  <c r="G16" i="1" s="1"/>
  <c r="H16" i="1" s="1"/>
  <c r="F17" i="1"/>
  <c r="I16" i="1"/>
  <c r="A19" i="1"/>
  <c r="E18" i="1"/>
  <c r="F18" i="1" l="1"/>
  <c r="I17" i="1"/>
  <c r="H17" i="1"/>
  <c r="C18" i="1"/>
  <c r="D17" i="1"/>
  <c r="G17" i="1" s="1"/>
  <c r="A20" i="1"/>
  <c r="E19" i="1"/>
  <c r="C19" i="1" l="1"/>
  <c r="D18" i="1"/>
  <c r="G18" i="1" s="1"/>
  <c r="H18" i="1" s="1"/>
  <c r="F19" i="1"/>
  <c r="I18" i="1"/>
  <c r="A21" i="1"/>
  <c r="E20" i="1"/>
  <c r="F20" i="1" l="1"/>
  <c r="I19" i="1"/>
  <c r="H19" i="1"/>
  <c r="C20" i="1"/>
  <c r="D19" i="1"/>
  <c r="G19" i="1" s="1"/>
  <c r="A22" i="1"/>
  <c r="E21" i="1"/>
  <c r="C21" i="1" l="1"/>
  <c r="D20" i="1"/>
  <c r="G20" i="1" s="1"/>
  <c r="H20" i="1" s="1"/>
  <c r="F21" i="1"/>
  <c r="I20" i="1"/>
  <c r="A23" i="1"/>
  <c r="E22" i="1"/>
  <c r="F22" i="1" l="1"/>
  <c r="I21" i="1"/>
  <c r="H21" i="1"/>
  <c r="C22" i="1"/>
  <c r="D21" i="1"/>
  <c r="G21" i="1" s="1"/>
  <c r="A24" i="1"/>
  <c r="E23" i="1"/>
  <c r="C23" i="1" l="1"/>
  <c r="D22" i="1"/>
  <c r="G22" i="1" s="1"/>
  <c r="H22" i="1" s="1"/>
  <c r="F23" i="1"/>
  <c r="I22" i="1"/>
  <c r="A25" i="1"/>
  <c r="E24" i="1"/>
  <c r="F24" i="1" l="1"/>
  <c r="I23" i="1"/>
  <c r="H23" i="1"/>
  <c r="C24" i="1"/>
  <c r="D23" i="1"/>
  <c r="G23" i="1" s="1"/>
  <c r="E25" i="1"/>
  <c r="C25" i="1" l="1"/>
  <c r="D25" i="1" s="1"/>
  <c r="G25" i="1" s="1"/>
  <c r="D24" i="1"/>
  <c r="G24" i="1" s="1"/>
  <c r="H24" i="1" s="1"/>
  <c r="F25" i="1"/>
  <c r="I24" i="1"/>
  <c r="I25" i="1" l="1"/>
  <c r="H25" i="1"/>
</calcChain>
</file>

<file path=xl/sharedStrings.xml><?xml version="1.0" encoding="utf-8"?>
<sst xmlns="http://schemas.openxmlformats.org/spreadsheetml/2006/main" count="7" uniqueCount="7">
  <si>
    <t>fall slope</t>
  </si>
  <si>
    <t>original</t>
  </si>
  <si>
    <t>tgc1</t>
  </si>
  <si>
    <t>fixed</t>
  </si>
  <si>
    <t>rise slope?</t>
  </si>
  <si>
    <t>% drop</t>
  </si>
  <si>
    <t>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</si>
</sst>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original</c:v>
                </c:pt>
              </c:strCache>
            </c:strRef>
          </c:tx>
          <c:xVal>
            <c:numRef>
              <c:f>Sheet1!$E$3:$E$25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Sheet1!$F$3:$F$25</c:f>
              <c:numCache>
                <c:formatCode>General</c:formatCode>
                <c:ptCount val="23"/>
                <c:pt idx="0">
                  <c:v>1</c:v>
                </c:pt>
                <c:pt idx="1">
                  <c:v>0.99833333333333329</c:v>
                </c:pt>
                <c:pt idx="2">
                  <c:v>0.99666666666666659</c:v>
                </c:pt>
                <c:pt idx="3">
                  <c:v>0.99499999999999988</c:v>
                </c:pt>
                <c:pt idx="4">
                  <c:v>0.99333333333333318</c:v>
                </c:pt>
                <c:pt idx="5">
                  <c:v>0.99166666666666647</c:v>
                </c:pt>
                <c:pt idx="6">
                  <c:v>0.98999999999999977</c:v>
                </c:pt>
                <c:pt idx="7">
                  <c:v>0.98833333333333306</c:v>
                </c:pt>
                <c:pt idx="8">
                  <c:v>0.98666666666666636</c:v>
                </c:pt>
                <c:pt idx="9">
                  <c:v>0.98499999999999965</c:v>
                </c:pt>
                <c:pt idx="10">
                  <c:v>0.98333333333333295</c:v>
                </c:pt>
                <c:pt idx="11">
                  <c:v>0.98166666666666624</c:v>
                </c:pt>
                <c:pt idx="12">
                  <c:v>0.97999999999999954</c:v>
                </c:pt>
                <c:pt idx="13">
                  <c:v>0.97833333333333283</c:v>
                </c:pt>
                <c:pt idx="14">
                  <c:v>0.97666666666666613</c:v>
                </c:pt>
                <c:pt idx="15">
                  <c:v>0.97499999999999942</c:v>
                </c:pt>
                <c:pt idx="16">
                  <c:v>0.97333333333333272</c:v>
                </c:pt>
                <c:pt idx="17">
                  <c:v>0.97166666666666601</c:v>
                </c:pt>
                <c:pt idx="18">
                  <c:v>0.96999999999999931</c:v>
                </c:pt>
                <c:pt idx="19">
                  <c:v>0.9683333333333326</c:v>
                </c:pt>
                <c:pt idx="20">
                  <c:v>0.9666666666666659</c:v>
                </c:pt>
                <c:pt idx="21">
                  <c:v>0.96499999999999919</c:v>
                </c:pt>
                <c:pt idx="22">
                  <c:v>0.96333333333333249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tgc1</c:v>
                </c:pt>
              </c:strCache>
            </c:strRef>
          </c:tx>
          <c:xVal>
            <c:numRef>
              <c:f>Sheet1!$E$3:$E$25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Sheet1!$G$3:$G$25</c:f>
              <c:numCache>
                <c:formatCode>General</c:formatCode>
                <c:ptCount val="23"/>
                <c:pt idx="0">
                  <c:v>1</c:v>
                </c:pt>
                <c:pt idx="1">
                  <c:v>1.001669449081803</c:v>
                </c:pt>
                <c:pt idx="2">
                  <c:v>1.0033444816053512</c:v>
                </c:pt>
                <c:pt idx="3">
                  <c:v>1.0050251256281408</c:v>
                </c:pt>
                <c:pt idx="4">
                  <c:v>1.0067114093959733</c:v>
                </c:pt>
                <c:pt idx="5">
                  <c:v>1.008403361344538</c:v>
                </c:pt>
                <c:pt idx="6">
                  <c:v>1.0101010101010104</c:v>
                </c:pt>
                <c:pt idx="7">
                  <c:v>1.0118043844856663</c:v>
                </c:pt>
                <c:pt idx="8">
                  <c:v>1.0135135135135138</c:v>
                </c:pt>
                <c:pt idx="9">
                  <c:v>1.0152284263959395</c:v>
                </c:pt>
                <c:pt idx="10">
                  <c:v>1.0169491525423733</c:v>
                </c:pt>
                <c:pt idx="11">
                  <c:v>1.0186757215619699</c:v>
                </c:pt>
                <c:pt idx="12">
                  <c:v>1.0204081632653066</c:v>
                </c:pt>
                <c:pt idx="13">
                  <c:v>1.0221465076660994</c:v>
                </c:pt>
                <c:pt idx="14">
                  <c:v>1.0238907849829357</c:v>
                </c:pt>
                <c:pt idx="15">
                  <c:v>1.0256410256410262</c:v>
                </c:pt>
                <c:pt idx="16">
                  <c:v>1.0273972602739732</c:v>
                </c:pt>
                <c:pt idx="17">
                  <c:v>1.0291595197255581</c:v>
                </c:pt>
                <c:pt idx="18">
                  <c:v>1.0309278350515472</c:v>
                </c:pt>
                <c:pt idx="19">
                  <c:v>1.0327022375215154</c:v>
                </c:pt>
                <c:pt idx="20">
                  <c:v>1.0344827586206904</c:v>
                </c:pt>
                <c:pt idx="21">
                  <c:v>1.0362694300518143</c:v>
                </c:pt>
                <c:pt idx="22">
                  <c:v>1.038062283737025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Sheet1!$H$2</c:f>
              <c:strCache>
                <c:ptCount val="1"/>
                <c:pt idx="0">
                  <c:v>fixed</c:v>
                </c:pt>
              </c:strCache>
            </c:strRef>
          </c:tx>
          <c:xVal>
            <c:numRef>
              <c:f>Sheet1!$E$3:$E$25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Sheet1!$H$3:$H$25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0.99999999999999989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0.99999999999999989</c:v>
                </c:pt>
                <c:pt idx="17">
                  <c:v>0.99999999999999989</c:v>
                </c:pt>
                <c:pt idx="18">
                  <c:v>1</c:v>
                </c:pt>
                <c:pt idx="19">
                  <c:v>1</c:v>
                </c:pt>
                <c:pt idx="20">
                  <c:v>0.99999999999999989</c:v>
                </c:pt>
                <c:pt idx="21">
                  <c:v>0.99999999999999989</c:v>
                </c:pt>
                <c:pt idx="22">
                  <c:v>0.99999999999999989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48368"/>
        <c:axId val="346947976"/>
      </c:scatterChart>
      <c:valAx>
        <c:axId val="34694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6947976"/>
        <c:crosses val="autoZero"/>
        <c:crossBetween val="midCat"/>
      </c:valAx>
      <c:valAx>
        <c:axId val="346947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69483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419099</xdr:colOff>
      <xdr:row>1</xdr:row>
      <xdr:rowOff>147636</xdr:rowOff>
    </xdr:from>
    <xdr:to>
      <xdr:col>21</xdr:col>
      <xdr:colOff>9524</xdr:colOff>
      <xdr:row>24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abSelected="1" topLeftCell="A7" workbookViewId="0">
      <selection activeCell="A6" sqref="A6"/>
    </sheetView>
  </sheetViews>
  <sheetFormatPr defaultRowHeight="14.5" x14ac:dyDescent="0.35"/>
  <sheetData>
    <row r="2" spans="1:9" x14ac:dyDescent="0.35">
      <c r="B2" t="s">
        <v>0</v>
      </c>
      <c r="C2" s="1" t="s">
        <v>5</v>
      </c>
      <c r="D2" t="s">
        <v>4</v>
      </c>
      <c r="F2" t="s">
        <v>1</v>
      </c>
      <c r="G2" t="s">
        <v>2</v>
      </c>
      <c r="H2" t="s">
        <v>3</v>
      </c>
      <c r="I2" t="s">
        <v>6</v>
      </c>
    </row>
    <row r="3" spans="1:9" x14ac:dyDescent="0.35">
      <c r="A3">
        <v>0</v>
      </c>
      <c r="B3">
        <f>1/600</f>
        <v>1.6666666666666668E-3</v>
      </c>
      <c r="C3">
        <v>1</v>
      </c>
      <c r="D3">
        <f>1/C3</f>
        <v>1</v>
      </c>
      <c r="E3">
        <f>A3</f>
        <v>0</v>
      </c>
      <c r="F3">
        <v>1</v>
      </c>
      <c r="G3">
        <v>1</v>
      </c>
      <c r="H3">
        <f>F3*G3</f>
        <v>1</v>
      </c>
      <c r="I3">
        <f>F3*1/(-B3*(A3)+$F$3)</f>
        <v>1</v>
      </c>
    </row>
    <row r="4" spans="1:9" x14ac:dyDescent="0.35">
      <c r="A4">
        <f>A3+1</f>
        <v>1</v>
      </c>
      <c r="B4">
        <f>B3</f>
        <v>1.6666666666666668E-3</v>
      </c>
      <c r="C4">
        <f>C3-B4</f>
        <v>0.99833333333333329</v>
      </c>
      <c r="D4">
        <f>1/C4</f>
        <v>1.001669449081803</v>
      </c>
      <c r="E4">
        <f t="shared" ref="E4:E25" si="0">A4</f>
        <v>1</v>
      </c>
      <c r="F4">
        <f>F3-B4</f>
        <v>0.99833333333333329</v>
      </c>
      <c r="G4">
        <f>D4</f>
        <v>1.001669449081803</v>
      </c>
      <c r="H4">
        <f>F4*G4</f>
        <v>1</v>
      </c>
      <c r="I4">
        <f t="shared" ref="I4:I25" si="1">F4*1/(-B4*(A4)+$F$3)</f>
        <v>1</v>
      </c>
    </row>
    <row r="5" spans="1:9" x14ac:dyDescent="0.35">
      <c r="A5">
        <f t="shared" ref="A5:A25" si="2">A4+1</f>
        <v>2</v>
      </c>
      <c r="B5">
        <f t="shared" ref="B5:B25" si="3">B4</f>
        <v>1.6666666666666668E-3</v>
      </c>
      <c r="C5">
        <f t="shared" ref="C5:C25" si="4">C4-B5</f>
        <v>0.99666666666666659</v>
      </c>
      <c r="D5">
        <f t="shared" ref="D5:D25" si="5">1/C5</f>
        <v>1.0033444816053512</v>
      </c>
      <c r="E5">
        <f t="shared" si="0"/>
        <v>2</v>
      </c>
      <c r="F5">
        <f t="shared" ref="F5:F25" si="6">F4-B5</f>
        <v>0.99666666666666659</v>
      </c>
      <c r="G5">
        <f t="shared" ref="G5:G25" si="7">D5</f>
        <v>1.0033444816053512</v>
      </c>
      <c r="H5">
        <f t="shared" ref="H5:H25" si="8">F5*G5</f>
        <v>0.99999999999999989</v>
      </c>
      <c r="I5">
        <f t="shared" si="1"/>
        <v>0.99999999999999989</v>
      </c>
    </row>
    <row r="6" spans="1:9" x14ac:dyDescent="0.35">
      <c r="A6">
        <f t="shared" si="2"/>
        <v>3</v>
      </c>
      <c r="B6">
        <f t="shared" si="3"/>
        <v>1.6666666666666668E-3</v>
      </c>
      <c r="C6">
        <f t="shared" si="4"/>
        <v>0.99499999999999988</v>
      </c>
      <c r="D6">
        <f t="shared" si="5"/>
        <v>1.0050251256281408</v>
      </c>
      <c r="E6">
        <f t="shared" si="0"/>
        <v>3</v>
      </c>
      <c r="F6">
        <f t="shared" si="6"/>
        <v>0.99499999999999988</v>
      </c>
      <c r="G6">
        <f t="shared" si="7"/>
        <v>1.0050251256281408</v>
      </c>
      <c r="H6">
        <f t="shared" si="8"/>
        <v>1</v>
      </c>
      <c r="I6">
        <f t="shared" si="1"/>
        <v>0.99999999999999989</v>
      </c>
    </row>
    <row r="7" spans="1:9" x14ac:dyDescent="0.35">
      <c r="A7">
        <f t="shared" si="2"/>
        <v>4</v>
      </c>
      <c r="B7">
        <f t="shared" si="3"/>
        <v>1.6666666666666668E-3</v>
      </c>
      <c r="C7">
        <f t="shared" si="4"/>
        <v>0.99333333333333318</v>
      </c>
      <c r="D7">
        <f t="shared" si="5"/>
        <v>1.0067114093959733</v>
      </c>
      <c r="E7">
        <f t="shared" si="0"/>
        <v>4</v>
      </c>
      <c r="F7">
        <f t="shared" si="6"/>
        <v>0.99333333333333318</v>
      </c>
      <c r="G7">
        <f t="shared" si="7"/>
        <v>1.0067114093959733</v>
      </c>
      <c r="H7">
        <f t="shared" si="8"/>
        <v>1</v>
      </c>
      <c r="I7">
        <f t="shared" si="1"/>
        <v>0.99999999999999989</v>
      </c>
    </row>
    <row r="8" spans="1:9" x14ac:dyDescent="0.35">
      <c r="A8">
        <f t="shared" si="2"/>
        <v>5</v>
      </c>
      <c r="B8">
        <f t="shared" si="3"/>
        <v>1.6666666666666668E-3</v>
      </c>
      <c r="C8">
        <f t="shared" si="4"/>
        <v>0.99166666666666647</v>
      </c>
      <c r="D8">
        <f t="shared" si="5"/>
        <v>1.008403361344538</v>
      </c>
      <c r="E8">
        <f t="shared" si="0"/>
        <v>5</v>
      </c>
      <c r="F8">
        <f t="shared" si="6"/>
        <v>0.99166666666666647</v>
      </c>
      <c r="G8">
        <f t="shared" si="7"/>
        <v>1.008403361344538</v>
      </c>
      <c r="H8">
        <f t="shared" si="8"/>
        <v>1</v>
      </c>
      <c r="I8">
        <f t="shared" si="1"/>
        <v>0.99999999999999978</v>
      </c>
    </row>
    <row r="9" spans="1:9" x14ac:dyDescent="0.35">
      <c r="A9">
        <f t="shared" si="2"/>
        <v>6</v>
      </c>
      <c r="B9">
        <f t="shared" si="3"/>
        <v>1.6666666666666668E-3</v>
      </c>
      <c r="C9">
        <f t="shared" si="4"/>
        <v>0.98999999999999977</v>
      </c>
      <c r="D9">
        <f t="shared" si="5"/>
        <v>1.0101010101010104</v>
      </c>
      <c r="E9">
        <f t="shared" si="0"/>
        <v>6</v>
      </c>
      <c r="F9">
        <f t="shared" si="6"/>
        <v>0.98999999999999977</v>
      </c>
      <c r="G9">
        <f t="shared" si="7"/>
        <v>1.0101010101010104</v>
      </c>
      <c r="H9">
        <f t="shared" si="8"/>
        <v>1</v>
      </c>
      <c r="I9">
        <f t="shared" si="1"/>
        <v>0.99999999999999978</v>
      </c>
    </row>
    <row r="10" spans="1:9" x14ac:dyDescent="0.35">
      <c r="A10">
        <f t="shared" si="2"/>
        <v>7</v>
      </c>
      <c r="B10">
        <f t="shared" si="3"/>
        <v>1.6666666666666668E-3</v>
      </c>
      <c r="C10">
        <f t="shared" si="4"/>
        <v>0.98833333333333306</v>
      </c>
      <c r="D10">
        <f t="shared" si="5"/>
        <v>1.0118043844856663</v>
      </c>
      <c r="E10">
        <f t="shared" si="0"/>
        <v>7</v>
      </c>
      <c r="F10">
        <f t="shared" si="6"/>
        <v>0.98833333333333306</v>
      </c>
      <c r="G10">
        <f t="shared" si="7"/>
        <v>1.0118043844856663</v>
      </c>
      <c r="H10">
        <f t="shared" si="8"/>
        <v>1</v>
      </c>
      <c r="I10">
        <f t="shared" si="1"/>
        <v>0.99999999999999978</v>
      </c>
    </row>
    <row r="11" spans="1:9" x14ac:dyDescent="0.35">
      <c r="A11">
        <f t="shared" si="2"/>
        <v>8</v>
      </c>
      <c r="B11">
        <f t="shared" si="3"/>
        <v>1.6666666666666668E-3</v>
      </c>
      <c r="C11">
        <f t="shared" si="4"/>
        <v>0.98666666666666636</v>
      </c>
      <c r="D11">
        <f t="shared" si="5"/>
        <v>1.0135135135135138</v>
      </c>
      <c r="E11">
        <f t="shared" si="0"/>
        <v>8</v>
      </c>
      <c r="F11">
        <f t="shared" si="6"/>
        <v>0.98666666666666636</v>
      </c>
      <c r="G11">
        <f t="shared" si="7"/>
        <v>1.0135135135135138</v>
      </c>
      <c r="H11">
        <f t="shared" si="8"/>
        <v>1</v>
      </c>
      <c r="I11">
        <f t="shared" si="1"/>
        <v>0.99999999999999967</v>
      </c>
    </row>
    <row r="12" spans="1:9" x14ac:dyDescent="0.35">
      <c r="A12">
        <f t="shared" si="2"/>
        <v>9</v>
      </c>
      <c r="B12">
        <f t="shared" si="3"/>
        <v>1.6666666666666668E-3</v>
      </c>
      <c r="C12">
        <f t="shared" si="4"/>
        <v>0.98499999999999965</v>
      </c>
      <c r="D12">
        <f t="shared" si="5"/>
        <v>1.0152284263959395</v>
      </c>
      <c r="E12">
        <f t="shared" si="0"/>
        <v>9</v>
      </c>
      <c r="F12">
        <f t="shared" si="6"/>
        <v>0.98499999999999965</v>
      </c>
      <c r="G12">
        <f t="shared" si="7"/>
        <v>1.0152284263959395</v>
      </c>
      <c r="H12">
        <f t="shared" si="8"/>
        <v>1</v>
      </c>
      <c r="I12">
        <f t="shared" si="1"/>
        <v>0.99999999999999967</v>
      </c>
    </row>
    <row r="13" spans="1:9" x14ac:dyDescent="0.35">
      <c r="A13">
        <f t="shared" si="2"/>
        <v>10</v>
      </c>
      <c r="B13">
        <f t="shared" si="3"/>
        <v>1.6666666666666668E-3</v>
      </c>
      <c r="C13">
        <f t="shared" si="4"/>
        <v>0.98333333333333295</v>
      </c>
      <c r="D13">
        <f t="shared" si="5"/>
        <v>1.0169491525423733</v>
      </c>
      <c r="E13">
        <f t="shared" si="0"/>
        <v>10</v>
      </c>
      <c r="F13">
        <f t="shared" si="6"/>
        <v>0.98333333333333295</v>
      </c>
      <c r="G13">
        <f t="shared" si="7"/>
        <v>1.0169491525423733</v>
      </c>
      <c r="H13">
        <f t="shared" si="8"/>
        <v>1</v>
      </c>
      <c r="I13">
        <f t="shared" si="1"/>
        <v>0.99999999999999967</v>
      </c>
    </row>
    <row r="14" spans="1:9" x14ac:dyDescent="0.35">
      <c r="A14">
        <f t="shared" si="2"/>
        <v>11</v>
      </c>
      <c r="B14">
        <f t="shared" si="3"/>
        <v>1.6666666666666668E-3</v>
      </c>
      <c r="C14">
        <f t="shared" si="4"/>
        <v>0.98166666666666624</v>
      </c>
      <c r="D14">
        <f t="shared" si="5"/>
        <v>1.0186757215619699</v>
      </c>
      <c r="E14">
        <f t="shared" si="0"/>
        <v>11</v>
      </c>
      <c r="F14">
        <f t="shared" si="6"/>
        <v>0.98166666666666624</v>
      </c>
      <c r="G14">
        <f t="shared" si="7"/>
        <v>1.0186757215619699</v>
      </c>
      <c r="H14">
        <f t="shared" si="8"/>
        <v>1</v>
      </c>
      <c r="I14">
        <f t="shared" si="1"/>
        <v>0.99999999999999956</v>
      </c>
    </row>
    <row r="15" spans="1:9" x14ac:dyDescent="0.35">
      <c r="A15">
        <f t="shared" si="2"/>
        <v>12</v>
      </c>
      <c r="B15">
        <f t="shared" si="3"/>
        <v>1.6666666666666668E-3</v>
      </c>
      <c r="C15">
        <f t="shared" si="4"/>
        <v>0.97999999999999954</v>
      </c>
      <c r="D15">
        <f t="shared" si="5"/>
        <v>1.0204081632653066</v>
      </c>
      <c r="E15">
        <f t="shared" si="0"/>
        <v>12</v>
      </c>
      <c r="F15">
        <f t="shared" si="6"/>
        <v>0.97999999999999954</v>
      </c>
      <c r="G15">
        <f t="shared" si="7"/>
        <v>1.0204081632653066</v>
      </c>
      <c r="H15">
        <f t="shared" si="8"/>
        <v>1</v>
      </c>
      <c r="I15">
        <f t="shared" si="1"/>
        <v>0.99999999999999956</v>
      </c>
    </row>
    <row r="16" spans="1:9" x14ac:dyDescent="0.35">
      <c r="A16">
        <f t="shared" si="2"/>
        <v>13</v>
      </c>
      <c r="B16">
        <f t="shared" si="3"/>
        <v>1.6666666666666668E-3</v>
      </c>
      <c r="C16">
        <f t="shared" si="4"/>
        <v>0.97833333333333283</v>
      </c>
      <c r="D16">
        <f t="shared" si="5"/>
        <v>1.0221465076660994</v>
      </c>
      <c r="E16">
        <f t="shared" si="0"/>
        <v>13</v>
      </c>
      <c r="F16">
        <f t="shared" si="6"/>
        <v>0.97833333333333283</v>
      </c>
      <c r="G16">
        <f t="shared" si="7"/>
        <v>1.0221465076660994</v>
      </c>
      <c r="H16">
        <f t="shared" si="8"/>
        <v>1</v>
      </c>
      <c r="I16">
        <f t="shared" si="1"/>
        <v>0.99999999999999956</v>
      </c>
    </row>
    <row r="17" spans="1:9" x14ac:dyDescent="0.35">
      <c r="A17">
        <f t="shared" si="2"/>
        <v>14</v>
      </c>
      <c r="B17">
        <f t="shared" si="3"/>
        <v>1.6666666666666668E-3</v>
      </c>
      <c r="C17">
        <f t="shared" si="4"/>
        <v>0.97666666666666613</v>
      </c>
      <c r="D17">
        <f t="shared" si="5"/>
        <v>1.0238907849829357</v>
      </c>
      <c r="E17">
        <f t="shared" si="0"/>
        <v>14</v>
      </c>
      <c r="F17">
        <f t="shared" si="6"/>
        <v>0.97666666666666613</v>
      </c>
      <c r="G17">
        <f t="shared" si="7"/>
        <v>1.0238907849829357</v>
      </c>
      <c r="H17">
        <f t="shared" si="8"/>
        <v>1</v>
      </c>
      <c r="I17">
        <f t="shared" si="1"/>
        <v>0.99999999999999944</v>
      </c>
    </row>
    <row r="18" spans="1:9" x14ac:dyDescent="0.35">
      <c r="A18">
        <f t="shared" si="2"/>
        <v>15</v>
      </c>
      <c r="B18">
        <f t="shared" si="3"/>
        <v>1.6666666666666668E-3</v>
      </c>
      <c r="C18">
        <f t="shared" si="4"/>
        <v>0.97499999999999942</v>
      </c>
      <c r="D18">
        <f t="shared" si="5"/>
        <v>1.0256410256410262</v>
      </c>
      <c r="E18">
        <f t="shared" si="0"/>
        <v>15</v>
      </c>
      <c r="F18">
        <f t="shared" si="6"/>
        <v>0.97499999999999942</v>
      </c>
      <c r="G18">
        <f t="shared" si="7"/>
        <v>1.0256410256410262</v>
      </c>
      <c r="H18">
        <f t="shared" si="8"/>
        <v>1</v>
      </c>
      <c r="I18">
        <f t="shared" si="1"/>
        <v>0.99999999999999944</v>
      </c>
    </row>
    <row r="19" spans="1:9" x14ac:dyDescent="0.35">
      <c r="A19">
        <f t="shared" si="2"/>
        <v>16</v>
      </c>
      <c r="B19">
        <f t="shared" si="3"/>
        <v>1.6666666666666668E-3</v>
      </c>
      <c r="C19">
        <f t="shared" si="4"/>
        <v>0.97333333333333272</v>
      </c>
      <c r="D19">
        <f t="shared" si="5"/>
        <v>1.0273972602739732</v>
      </c>
      <c r="E19">
        <f t="shared" si="0"/>
        <v>16</v>
      </c>
      <c r="F19">
        <f t="shared" si="6"/>
        <v>0.97333333333333272</v>
      </c>
      <c r="G19">
        <f t="shared" si="7"/>
        <v>1.0273972602739732</v>
      </c>
      <c r="H19">
        <f t="shared" si="8"/>
        <v>0.99999999999999989</v>
      </c>
      <c r="I19">
        <f t="shared" si="1"/>
        <v>0.99999999999999933</v>
      </c>
    </row>
    <row r="20" spans="1:9" x14ac:dyDescent="0.35">
      <c r="A20">
        <f t="shared" si="2"/>
        <v>17</v>
      </c>
      <c r="B20">
        <f t="shared" si="3"/>
        <v>1.6666666666666668E-3</v>
      </c>
      <c r="C20">
        <f t="shared" si="4"/>
        <v>0.97166666666666601</v>
      </c>
      <c r="D20">
        <f t="shared" si="5"/>
        <v>1.0291595197255581</v>
      </c>
      <c r="E20">
        <f t="shared" si="0"/>
        <v>17</v>
      </c>
      <c r="F20">
        <f t="shared" si="6"/>
        <v>0.97166666666666601</v>
      </c>
      <c r="G20">
        <f t="shared" si="7"/>
        <v>1.0291595197255581</v>
      </c>
      <c r="H20">
        <f t="shared" si="8"/>
        <v>0.99999999999999989</v>
      </c>
      <c r="I20">
        <f t="shared" si="1"/>
        <v>0.99999999999999933</v>
      </c>
    </row>
    <row r="21" spans="1:9" x14ac:dyDescent="0.35">
      <c r="A21">
        <f t="shared" si="2"/>
        <v>18</v>
      </c>
      <c r="B21">
        <f t="shared" si="3"/>
        <v>1.6666666666666668E-3</v>
      </c>
      <c r="C21">
        <f t="shared" si="4"/>
        <v>0.96999999999999931</v>
      </c>
      <c r="D21">
        <f t="shared" si="5"/>
        <v>1.0309278350515472</v>
      </c>
      <c r="E21">
        <f t="shared" si="0"/>
        <v>18</v>
      </c>
      <c r="F21">
        <f t="shared" si="6"/>
        <v>0.96999999999999931</v>
      </c>
      <c r="G21">
        <f t="shared" si="7"/>
        <v>1.0309278350515472</v>
      </c>
      <c r="H21">
        <f t="shared" si="8"/>
        <v>1</v>
      </c>
      <c r="I21">
        <f t="shared" si="1"/>
        <v>0.99999999999999933</v>
      </c>
    </row>
    <row r="22" spans="1:9" x14ac:dyDescent="0.35">
      <c r="A22">
        <f t="shared" si="2"/>
        <v>19</v>
      </c>
      <c r="B22">
        <f t="shared" si="3"/>
        <v>1.6666666666666668E-3</v>
      </c>
      <c r="C22">
        <f t="shared" si="4"/>
        <v>0.9683333333333326</v>
      </c>
      <c r="D22">
        <f t="shared" si="5"/>
        <v>1.0327022375215154</v>
      </c>
      <c r="E22">
        <f t="shared" si="0"/>
        <v>19</v>
      </c>
      <c r="F22">
        <f t="shared" si="6"/>
        <v>0.9683333333333326</v>
      </c>
      <c r="G22">
        <f t="shared" si="7"/>
        <v>1.0327022375215154</v>
      </c>
      <c r="H22">
        <f t="shared" si="8"/>
        <v>1</v>
      </c>
      <c r="I22">
        <f t="shared" si="1"/>
        <v>0.99999999999999922</v>
      </c>
    </row>
    <row r="23" spans="1:9" x14ac:dyDescent="0.35">
      <c r="A23">
        <f t="shared" si="2"/>
        <v>20</v>
      </c>
      <c r="B23">
        <f t="shared" si="3"/>
        <v>1.6666666666666668E-3</v>
      </c>
      <c r="C23">
        <f t="shared" si="4"/>
        <v>0.9666666666666659</v>
      </c>
      <c r="D23">
        <f t="shared" si="5"/>
        <v>1.0344827586206904</v>
      </c>
      <c r="E23">
        <f t="shared" si="0"/>
        <v>20</v>
      </c>
      <c r="F23">
        <f t="shared" si="6"/>
        <v>0.9666666666666659</v>
      </c>
      <c r="G23">
        <f t="shared" si="7"/>
        <v>1.0344827586206904</v>
      </c>
      <c r="H23">
        <f t="shared" si="8"/>
        <v>0.99999999999999989</v>
      </c>
      <c r="I23">
        <f t="shared" si="1"/>
        <v>0.99999999999999922</v>
      </c>
    </row>
    <row r="24" spans="1:9" x14ac:dyDescent="0.35">
      <c r="A24">
        <f t="shared" si="2"/>
        <v>21</v>
      </c>
      <c r="B24">
        <f t="shared" si="3"/>
        <v>1.6666666666666668E-3</v>
      </c>
      <c r="C24">
        <f t="shared" si="4"/>
        <v>0.96499999999999919</v>
      </c>
      <c r="D24">
        <f t="shared" si="5"/>
        <v>1.0362694300518143</v>
      </c>
      <c r="E24">
        <f t="shared" si="0"/>
        <v>21</v>
      </c>
      <c r="F24">
        <f t="shared" si="6"/>
        <v>0.96499999999999919</v>
      </c>
      <c r="G24">
        <f t="shared" si="7"/>
        <v>1.0362694300518143</v>
      </c>
      <c r="H24">
        <f t="shared" si="8"/>
        <v>0.99999999999999989</v>
      </c>
      <c r="I24">
        <f t="shared" si="1"/>
        <v>0.99999999999999922</v>
      </c>
    </row>
    <row r="25" spans="1:9" x14ac:dyDescent="0.35">
      <c r="A25">
        <f t="shared" si="2"/>
        <v>22</v>
      </c>
      <c r="B25">
        <f t="shared" si="3"/>
        <v>1.6666666666666668E-3</v>
      </c>
      <c r="C25">
        <f t="shared" si="4"/>
        <v>0.96333333333333249</v>
      </c>
      <c r="D25">
        <f t="shared" si="5"/>
        <v>1.038062283737025</v>
      </c>
      <c r="E25">
        <f t="shared" si="0"/>
        <v>22</v>
      </c>
      <c r="F25">
        <f t="shared" si="6"/>
        <v>0.96333333333333249</v>
      </c>
      <c r="G25">
        <f t="shared" si="7"/>
        <v>1.038062283737025</v>
      </c>
      <c r="H25">
        <f t="shared" si="8"/>
        <v>0.99999999999999989</v>
      </c>
      <c r="I25">
        <f t="shared" si="1"/>
        <v>0.99999999999999911</v>
      </c>
    </row>
    <row r="31" spans="1:9" x14ac:dyDescent="0.35">
      <c r="G31">
        <f>0.8*1.2</f>
        <v>0.96</v>
      </c>
    </row>
    <row r="32" spans="1:9" x14ac:dyDescent="0.35">
      <c r="G32">
        <f>1/0.8</f>
        <v>1.25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York, George W Dr USAF USAFA USAFA/DFEC</cp:lastModifiedBy>
  <dcterms:created xsi:type="dcterms:W3CDTF">2011-11-09T17:22:55Z</dcterms:created>
  <dcterms:modified xsi:type="dcterms:W3CDTF">2018-11-14T15:35:17Z</dcterms:modified>
</cp:coreProperties>
</file>